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-10\Documents\"/>
    </mc:Choice>
  </mc:AlternateContent>
  <xr:revisionPtr revIDLastSave="0" documentId="8_{617B828E-345C-4BED-83F4-7A4D2018FAA6}" xr6:coauthVersionLast="47" xr6:coauthVersionMax="47" xr10:uidLastSave="{00000000-0000-0000-0000-000000000000}"/>
  <bookViews>
    <workbookView xWindow="-120" yWindow="-120" windowWidth="24240" windowHeight="13020" xr2:uid="{CB18636A-5FDF-42F3-BF02-F5CE6A1D3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" l="1" a="1"/>
  <c r="J15" i="1" s="1"/>
  <c r="I16" i="1"/>
  <c r="I17" i="1"/>
  <c r="I18" i="1"/>
  <c r="I19" i="1"/>
  <c r="I20" i="1"/>
  <c r="I21" i="1"/>
  <c r="I22" i="1"/>
  <c r="I23" i="1"/>
  <c r="I24" i="1"/>
  <c r="I15" i="1"/>
  <c r="H16" i="1"/>
  <c r="H17" i="1"/>
  <c r="H18" i="1"/>
  <c r="H19" i="1"/>
  <c r="H20" i="1"/>
  <c r="H21" i="1"/>
  <c r="H22" i="1"/>
  <c r="H23" i="1"/>
  <c r="H24" i="1"/>
  <c r="H15" i="1"/>
  <c r="G16" i="1"/>
  <c r="G17" i="1"/>
  <c r="G18" i="1"/>
  <c r="G19" i="1"/>
  <c r="G20" i="1"/>
  <c r="G21" i="1"/>
  <c r="G22" i="1"/>
  <c r="G23" i="1"/>
  <c r="G24" i="1"/>
  <c r="G15" i="1"/>
  <c r="F16" i="1"/>
  <c r="F17" i="1"/>
  <c r="F18" i="1"/>
  <c r="F19" i="1"/>
  <c r="F20" i="1"/>
  <c r="F21" i="1"/>
  <c r="F22" i="1"/>
  <c r="F23" i="1"/>
  <c r="F24" i="1"/>
  <c r="F15" i="1"/>
  <c r="E16" i="1"/>
  <c r="E17" i="1"/>
  <c r="E18" i="1"/>
  <c r="E19" i="1"/>
  <c r="E20" i="1"/>
  <c r="E21" i="1"/>
  <c r="E22" i="1"/>
  <c r="E23" i="1"/>
  <c r="E24" i="1"/>
  <c r="E15" i="1"/>
  <c r="D15" i="1"/>
  <c r="D16" i="1"/>
  <c r="D17" i="1"/>
  <c r="D18" i="1"/>
  <c r="D19" i="1"/>
  <c r="D20" i="1"/>
  <c r="D21" i="1"/>
  <c r="D22" i="1"/>
  <c r="D23" i="1"/>
  <c r="D24" i="1"/>
  <c r="C16" i="1"/>
  <c r="C17" i="1"/>
  <c r="C18" i="1"/>
  <c r="C19" i="1"/>
  <c r="C20" i="1"/>
  <c r="C21" i="1"/>
  <c r="C22" i="1"/>
  <c r="C23" i="1"/>
  <c r="C24" i="1"/>
  <c r="C15" i="1"/>
  <c r="Q2" i="1"/>
  <c r="P3" i="1"/>
  <c r="P4" i="1"/>
  <c r="P5" i="1"/>
  <c r="P6" i="1"/>
  <c r="P7" i="1"/>
  <c r="P8" i="1"/>
  <c r="P9" i="1"/>
  <c r="P10" i="1"/>
  <c r="P11" i="1"/>
  <c r="P2" i="1"/>
  <c r="A16" i="1"/>
  <c r="A17" i="1"/>
  <c r="A18" i="1"/>
  <c r="A19" i="1"/>
  <c r="A20" i="1"/>
  <c r="A21" i="1"/>
  <c r="A22" i="1"/>
  <c r="A23" i="1"/>
  <c r="A24" i="1"/>
  <c r="A25" i="1"/>
  <c r="A26" i="1"/>
  <c r="A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<sst xmlns="http://schemas.openxmlformats.org/spreadsheetml/2006/main" count="116" uniqueCount="72">
  <si>
    <t>Order id</t>
  </si>
  <si>
    <t>Customer name</t>
  </si>
  <si>
    <t>Gender</t>
  </si>
  <si>
    <t>state</t>
  </si>
  <si>
    <t>Product</t>
  </si>
  <si>
    <t>Category</t>
  </si>
  <si>
    <t>Order Date</t>
  </si>
  <si>
    <t>Delivery Date</t>
  </si>
  <si>
    <t>Qty</t>
  </si>
  <si>
    <t>Unit price</t>
  </si>
  <si>
    <t>Discount %</t>
  </si>
  <si>
    <t>Salesperson</t>
  </si>
  <si>
    <t>Payment mode</t>
  </si>
  <si>
    <t>status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</si>
  <si>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</si>
  <si>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</si>
  <si>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</si>
  <si>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</si>
  <si>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</si>
  <si>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</si>
  <si>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</si>
  <si>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</si>
  <si>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</si>
  <si>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</si>
  <si>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Anita Singh</t>
  </si>
  <si>
    <t>Rohit kumar</t>
  </si>
  <si>
    <t xml:space="preserve">neha Patil </t>
  </si>
  <si>
    <t>Amit Shah</t>
  </si>
  <si>
    <t>Karan More</t>
  </si>
  <si>
    <t>Akash Jain</t>
  </si>
  <si>
    <t>Pooja Verma</t>
  </si>
  <si>
    <t>Rahul Sharma</t>
  </si>
  <si>
    <t>sneha Joshi</t>
  </si>
  <si>
    <t>Priya Patil</t>
  </si>
  <si>
    <t>Male</t>
  </si>
  <si>
    <t>Female</t>
  </si>
  <si>
    <t>Maharashtra</t>
  </si>
  <si>
    <t>Gujarat</t>
  </si>
  <si>
    <t>karnataka</t>
  </si>
  <si>
    <t>Delhi</t>
  </si>
  <si>
    <t>Laotop</t>
  </si>
  <si>
    <t>Mobile</t>
  </si>
  <si>
    <t>chair</t>
  </si>
  <si>
    <t>Printer</t>
  </si>
  <si>
    <t>Table</t>
  </si>
  <si>
    <t>Laptop</t>
  </si>
  <si>
    <t>Sofa</t>
  </si>
  <si>
    <t>Electronics</t>
  </si>
  <si>
    <t>furniture</t>
  </si>
  <si>
    <t>Amit</t>
  </si>
  <si>
    <t>Priya</t>
  </si>
  <si>
    <t>Karan</t>
  </si>
  <si>
    <t>UPI</t>
  </si>
  <si>
    <t>Card</t>
  </si>
  <si>
    <t>Cash</t>
  </si>
  <si>
    <t>card</t>
  </si>
  <si>
    <t>Net Banking</t>
  </si>
  <si>
    <t>Delivered</t>
  </si>
  <si>
    <t>Cancelled</t>
  </si>
  <si>
    <t>Pending</t>
  </si>
  <si>
    <t>QUE 1</t>
  </si>
  <si>
    <t>QUS 2</t>
  </si>
  <si>
    <t>QUS 3</t>
  </si>
  <si>
    <t>GROSS AMMOUNT</t>
  </si>
  <si>
    <t>DISCOUNT AMMOUNT</t>
  </si>
  <si>
    <t>QUS 4</t>
  </si>
  <si>
    <t>QUS 5</t>
  </si>
  <si>
    <t>QUS 6</t>
  </si>
  <si>
    <t>qus 7</t>
  </si>
  <si>
    <t>QUS 8</t>
  </si>
  <si>
    <t>QUS 9</t>
  </si>
  <si>
    <t>QUS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</si>
</sst>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\-mmm\-yy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167" fontId="0" fillId="0" borderId="0" xfId="0" applyNumberFormat="1"/>
    <xf numFmtId="0" fontId="0" fillId="0" borderId="0" xfId="0" applyAlignment="1">
      <alignment horizontal="right"/>
    </xf>
    <xf numFmtId="15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4827-ED95-4D86-B4ED-A5E64D268699}">
  <dimension ref="A1:Q26"/>
  <sheetViews>
    <sheetView tabSelected="1" workbookViewId="0">
      <selection activeCell="J15" sqref="J15"/>
    </sheetView>
  </sheetViews>
  <sheetFormatPr defaultRowHeight="15" x14ac:dyDescent="0.25"/>
  <cols>
    <col min="1" max="1" width="11.140625" customWidth="1"/>
    <col min="2" max="2" width="16" customWidth="1"/>
    <col min="3" max="4" width="14.140625" customWidth="1"/>
    <col min="5" max="5" width="11.5703125" customWidth="1"/>
    <col min="6" max="7" width="12.140625" customWidth="1"/>
    <col min="8" max="8" width="13.5703125" customWidth="1"/>
    <col min="9" max="9" width="13" customWidth="1"/>
    <col min="10" max="10" width="11.42578125" customWidth="1"/>
    <col min="11" max="11" width="13.7109375" customWidth="1"/>
    <col min="12" max="12" width="13" customWidth="1"/>
    <col min="13" max="13" width="14.7109375" customWidth="1"/>
    <col min="14" max="14" width="12" customWidth="1"/>
    <col min="16" max="16" width="16.85546875" customWidth="1"/>
    <col min="17" max="17" width="20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63</v>
      </c>
      <c r="Q1" t="s">
        <v>64</v>
      </c>
    </row>
    <row r="2" spans="1:17" x14ac:dyDescent="0.25">
      <c r="A2" s="1" t="s">
        <v>14</v>
      </c>
      <c r="B2" t="s">
        <v>31</v>
      </c>
      <c r="C2" t="s">
        <v>34</v>
      </c>
      <c r="D2" t="s">
        <v>36</v>
      </c>
      <c r="E2" t="s">
        <v>40</v>
      </c>
      <c r="F2" t="s">
        <v>47</v>
      </c>
      <c r="G2" s="2">
        <v>46032</v>
      </c>
      <c r="H2" s="2">
        <v>46037</v>
      </c>
      <c r="I2">
        <v>2</v>
      </c>
      <c r="J2">
        <v>55000</v>
      </c>
      <c r="K2">
        <v>10</v>
      </c>
      <c r="L2" s="3" t="s">
        <v>49</v>
      </c>
      <c r="M2" t="s">
        <v>52</v>
      </c>
      <c r="N2" t="s">
        <v>57</v>
      </c>
      <c r="P2">
        <f>I2*J2</f>
        <v>110000</v>
      </c>
      <c r="Q2">
        <f>P2*K2</f>
        <v>1100000</v>
      </c>
    </row>
    <row r="3" spans="1:17" x14ac:dyDescent="0.25">
      <c r="A3" s="1" t="s">
        <v>15</v>
      </c>
      <c r="B3" t="s">
        <v>24</v>
      </c>
      <c r="C3" t="s">
        <v>35</v>
      </c>
      <c r="D3" t="s">
        <v>37</v>
      </c>
      <c r="E3" t="s">
        <v>41</v>
      </c>
      <c r="F3" t="s">
        <v>47</v>
      </c>
      <c r="G3" s="2">
        <v>46034</v>
      </c>
      <c r="H3" s="2">
        <v>46040</v>
      </c>
      <c r="I3">
        <v>3</v>
      </c>
      <c r="J3">
        <v>25000</v>
      </c>
      <c r="K3">
        <v>5</v>
      </c>
      <c r="L3" s="3" t="s">
        <v>50</v>
      </c>
      <c r="M3" t="s">
        <v>53</v>
      </c>
      <c r="N3" t="s">
        <v>57</v>
      </c>
      <c r="P3">
        <f t="shared" ref="P3:P11" si="0">I3*J3</f>
        <v>75000</v>
      </c>
    </row>
    <row r="4" spans="1:17" x14ac:dyDescent="0.25">
      <c r="A4" s="1" t="s">
        <v>16</v>
      </c>
      <c r="B4" t="s">
        <v>25</v>
      </c>
      <c r="C4" t="s">
        <v>34</v>
      </c>
      <c r="D4" t="s">
        <v>36</v>
      </c>
      <c r="E4" t="s">
        <v>42</v>
      </c>
      <c r="F4" t="s">
        <v>48</v>
      </c>
      <c r="G4" s="2">
        <v>46037</v>
      </c>
      <c r="H4" s="2">
        <v>46042</v>
      </c>
      <c r="I4">
        <v>5</v>
      </c>
      <c r="J4">
        <v>3500</v>
      </c>
      <c r="K4">
        <v>15</v>
      </c>
      <c r="L4" s="3" t="s">
        <v>49</v>
      </c>
      <c r="M4" t="s">
        <v>54</v>
      </c>
      <c r="N4" t="s">
        <v>57</v>
      </c>
      <c r="P4">
        <f t="shared" si="0"/>
        <v>17500</v>
      </c>
    </row>
    <row r="5" spans="1:17" x14ac:dyDescent="0.25">
      <c r="A5" s="1" t="s">
        <v>17</v>
      </c>
      <c r="B5" t="s">
        <v>26</v>
      </c>
      <c r="C5" t="s">
        <v>35</v>
      </c>
      <c r="D5" t="s">
        <v>38</v>
      </c>
      <c r="E5" t="s">
        <v>43</v>
      </c>
      <c r="F5" t="s">
        <v>47</v>
      </c>
      <c r="G5" s="2">
        <v>46040</v>
      </c>
      <c r="H5" s="2">
        <v>46047</v>
      </c>
      <c r="I5">
        <v>1</v>
      </c>
      <c r="J5">
        <v>18000</v>
      </c>
      <c r="K5">
        <v>8</v>
      </c>
      <c r="L5" s="3" t="s">
        <v>51</v>
      </c>
      <c r="M5" t="s">
        <v>52</v>
      </c>
      <c r="N5" t="s">
        <v>59</v>
      </c>
      <c r="P5">
        <f t="shared" si="0"/>
        <v>18000</v>
      </c>
    </row>
    <row r="6" spans="1:17" x14ac:dyDescent="0.25">
      <c r="A6" s="1" t="s">
        <v>18</v>
      </c>
      <c r="B6" t="s">
        <v>27</v>
      </c>
      <c r="C6" t="s">
        <v>34</v>
      </c>
      <c r="D6" t="s">
        <v>36</v>
      </c>
      <c r="E6" t="s">
        <v>44</v>
      </c>
      <c r="F6" t="s">
        <v>48</v>
      </c>
      <c r="G6" s="2">
        <v>46042</v>
      </c>
      <c r="H6" s="2">
        <v>46050</v>
      </c>
      <c r="I6">
        <v>2</v>
      </c>
      <c r="J6">
        <v>12000</v>
      </c>
      <c r="K6">
        <v>12</v>
      </c>
      <c r="L6" s="3" t="s">
        <v>50</v>
      </c>
      <c r="M6" t="s">
        <v>55</v>
      </c>
      <c r="N6" t="s">
        <v>57</v>
      </c>
      <c r="P6">
        <f t="shared" si="0"/>
        <v>24000</v>
      </c>
    </row>
    <row r="7" spans="1:17" x14ac:dyDescent="0.25">
      <c r="A7" s="1" t="s">
        <v>19</v>
      </c>
      <c r="B7" t="s">
        <v>32</v>
      </c>
      <c r="C7" t="s">
        <v>35</v>
      </c>
      <c r="D7" t="s">
        <v>37</v>
      </c>
      <c r="E7" t="s">
        <v>45</v>
      </c>
      <c r="F7" t="s">
        <v>47</v>
      </c>
      <c r="G7" s="2">
        <v>46044</v>
      </c>
      <c r="H7" s="2">
        <v>46052</v>
      </c>
      <c r="I7">
        <v>1</v>
      </c>
      <c r="J7">
        <v>60000</v>
      </c>
      <c r="K7">
        <v>5</v>
      </c>
      <c r="L7" s="3" t="s">
        <v>49</v>
      </c>
      <c r="M7" t="s">
        <v>56</v>
      </c>
      <c r="N7" t="s">
        <v>57</v>
      </c>
      <c r="P7">
        <f t="shared" si="0"/>
        <v>60000</v>
      </c>
    </row>
    <row r="8" spans="1:17" x14ac:dyDescent="0.25">
      <c r="A8" s="1" t="s">
        <v>20</v>
      </c>
      <c r="B8" t="s">
        <v>28</v>
      </c>
      <c r="C8" t="s">
        <v>34</v>
      </c>
      <c r="D8" t="s">
        <v>36</v>
      </c>
      <c r="E8" t="s">
        <v>41</v>
      </c>
      <c r="F8" t="s">
        <v>47</v>
      </c>
      <c r="G8" s="2">
        <v>46047</v>
      </c>
      <c r="H8" s="2">
        <v>46055</v>
      </c>
      <c r="I8">
        <v>4</v>
      </c>
      <c r="J8">
        <v>22000</v>
      </c>
      <c r="K8">
        <v>10</v>
      </c>
      <c r="L8" s="3" t="s">
        <v>50</v>
      </c>
      <c r="M8" t="s">
        <v>52</v>
      </c>
      <c r="N8" t="s">
        <v>57</v>
      </c>
      <c r="P8">
        <f t="shared" si="0"/>
        <v>88000</v>
      </c>
    </row>
    <row r="9" spans="1:17" x14ac:dyDescent="0.25">
      <c r="A9" s="1" t="s">
        <v>21</v>
      </c>
      <c r="B9" t="s">
        <v>33</v>
      </c>
      <c r="C9" t="s">
        <v>35</v>
      </c>
      <c r="D9" t="s">
        <v>38</v>
      </c>
      <c r="E9" t="s">
        <v>46</v>
      </c>
      <c r="F9" t="s">
        <v>48</v>
      </c>
      <c r="G9" s="2">
        <v>46050</v>
      </c>
      <c r="H9" s="2">
        <v>46058</v>
      </c>
      <c r="I9">
        <v>1</v>
      </c>
      <c r="J9">
        <v>45000</v>
      </c>
      <c r="K9">
        <v>20</v>
      </c>
      <c r="L9" s="3" t="s">
        <v>49</v>
      </c>
      <c r="M9" t="s">
        <v>54</v>
      </c>
      <c r="N9" t="s">
        <v>58</v>
      </c>
      <c r="P9">
        <f t="shared" si="0"/>
        <v>45000</v>
      </c>
    </row>
    <row r="10" spans="1:17" x14ac:dyDescent="0.25">
      <c r="A10" s="1" t="s">
        <v>22</v>
      </c>
      <c r="B10" t="s">
        <v>29</v>
      </c>
      <c r="C10" t="s">
        <v>34</v>
      </c>
      <c r="D10" t="s">
        <v>39</v>
      </c>
      <c r="E10" t="s">
        <v>45</v>
      </c>
      <c r="F10" t="s">
        <v>47</v>
      </c>
      <c r="G10" s="2">
        <v>46052</v>
      </c>
      <c r="H10" s="2">
        <v>46059</v>
      </c>
      <c r="I10">
        <v>2</v>
      </c>
      <c r="J10">
        <v>58000</v>
      </c>
      <c r="K10">
        <v>15</v>
      </c>
      <c r="L10" s="3" t="s">
        <v>51</v>
      </c>
      <c r="M10" t="s">
        <v>53</v>
      </c>
      <c r="N10" t="s">
        <v>57</v>
      </c>
      <c r="P10">
        <f t="shared" si="0"/>
        <v>116000</v>
      </c>
    </row>
    <row r="11" spans="1:17" x14ac:dyDescent="0.25">
      <c r="A11" s="1" t="s">
        <v>23</v>
      </c>
      <c r="B11" t="s">
        <v>30</v>
      </c>
      <c r="C11" t="s">
        <v>35</v>
      </c>
      <c r="D11" t="s">
        <v>36</v>
      </c>
      <c r="E11" t="s">
        <v>43</v>
      </c>
      <c r="F11" t="s">
        <v>47</v>
      </c>
      <c r="G11" s="2">
        <v>46055</v>
      </c>
      <c r="H11" s="2">
        <v>46061</v>
      </c>
      <c r="I11">
        <v>3</v>
      </c>
      <c r="J11">
        <v>17000</v>
      </c>
      <c r="K11">
        <v>5</v>
      </c>
      <c r="L11" s="3" t="s">
        <v>49</v>
      </c>
      <c r="M11" t="s">
        <v>52</v>
      </c>
      <c r="N11" t="s">
        <v>57</v>
      </c>
      <c r="P11">
        <f t="shared" si="0"/>
        <v>51000</v>
      </c>
    </row>
    <row r="14" spans="1:17" x14ac:dyDescent="0.25">
      <c r="A14" s="4" t="s">
        <v>60</v>
      </c>
      <c r="B14" s="5" t="s">
        <v>61</v>
      </c>
      <c r="C14" s="5" t="s">
        <v>62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</row>
    <row r="15" spans="1:17" x14ac:dyDescent="0.25">
      <c r="A15" t="str">
        <f>UPPER(LEFT(B2,3))&amp;RIGHT(A2,4)</f>
        <v>RAH1001</v>
      </c>
      <c r="C15">
        <f>I2*J2</f>
        <v>110000</v>
      </c>
      <c r="D15">
        <f>C15*(K2/100)</f>
        <v>11000</v>
      </c>
      <c r="E15">
        <f>C15-D15</f>
        <v>99000</v>
      </c>
      <c r="F15" s="3" t="str">
        <f>TEXT(G2,"dddd")</f>
        <v>Saturday</v>
      </c>
      <c r="G15" s="3" t="str">
        <f>TEXT(H2,"mmmm")</f>
        <v>January</v>
      </c>
      <c r="H15">
        <f>DATEDIF(G2,H2,"d")</f>
        <v>5</v>
      </c>
      <c r="I15" t="str">
        <f>IF(H2-G2&gt;7,"Late Delivery","On Time")</f>
        <v>On Time</v>
      </c>
      <c r="J15" t="str" cm="1">
        <f t="array" ref="J15">_xlfn.IFS(K2&gt;=20%,"EXCELLENT",K2&gt;=15%,"HIGH",K2&gt;=10%,"MEDIUM",K2&gt;=5%,"LOW",K2=0,"NO DISCOUNT")</f>
        <v>EXCELLENT</v>
      </c>
    </row>
    <row r="16" spans="1:17" x14ac:dyDescent="0.25">
      <c r="A16" t="str">
        <f t="shared" ref="A16:A24" si="1">UPPER(LEFT(B3,3))&amp;RIGHT(A3,4)</f>
        <v>ANI1002</v>
      </c>
      <c r="C16">
        <f t="shared" ref="C16:C24" si="2">I3*J3</f>
        <v>75000</v>
      </c>
      <c r="D16">
        <f t="shared" ref="D16:D24" si="3">C16*K3/100</f>
        <v>3750</v>
      </c>
      <c r="E16">
        <f t="shared" ref="E16:E24" si="4">C16-D16</f>
        <v>71250</v>
      </c>
      <c r="F16" s="3" t="str">
        <f t="shared" ref="F16:F24" si="5">TEXT(G3,"dddd")</f>
        <v>Monday</v>
      </c>
      <c r="G16" s="3" t="str">
        <f t="shared" ref="G16:G24" si="6">TEXT(H3,"mmmm")</f>
        <v>January</v>
      </c>
      <c r="H16">
        <f t="shared" ref="H16:H24" si="7">DATEDIF(G3,H3,"d")</f>
        <v>6</v>
      </c>
      <c r="I16" t="str">
        <f t="shared" ref="I16:I24" si="8">IF(H3-G3&gt;7,"Late Delivery","On Time")</f>
        <v>On Time</v>
      </c>
    </row>
    <row r="17" spans="1:9" x14ac:dyDescent="0.25">
      <c r="A17" t="str">
        <f t="shared" si="1"/>
        <v>ROH1003</v>
      </c>
      <c r="C17">
        <f t="shared" si="2"/>
        <v>17500</v>
      </c>
      <c r="D17">
        <f t="shared" si="3"/>
        <v>2625</v>
      </c>
      <c r="E17">
        <f t="shared" si="4"/>
        <v>14875</v>
      </c>
      <c r="F17" s="3" t="str">
        <f t="shared" si="5"/>
        <v>Thursday</v>
      </c>
      <c r="G17" s="3" t="str">
        <f t="shared" si="6"/>
        <v>January</v>
      </c>
      <c r="H17">
        <f t="shared" si="7"/>
        <v>5</v>
      </c>
      <c r="I17" t="str">
        <f t="shared" si="8"/>
        <v>On Time</v>
      </c>
    </row>
    <row r="18" spans="1:9" x14ac:dyDescent="0.25">
      <c r="A18" t="str">
        <f t="shared" si="1"/>
        <v>NEH1004</v>
      </c>
      <c r="C18">
        <f t="shared" si="2"/>
        <v>18000</v>
      </c>
      <c r="D18">
        <f t="shared" si="3"/>
        <v>1440</v>
      </c>
      <c r="E18">
        <f t="shared" si="4"/>
        <v>16560</v>
      </c>
      <c r="F18" s="3" t="str">
        <f t="shared" si="5"/>
        <v>Sunday</v>
      </c>
      <c r="G18" s="3" t="str">
        <f t="shared" si="6"/>
        <v>January</v>
      </c>
      <c r="H18">
        <f t="shared" si="7"/>
        <v>7</v>
      </c>
      <c r="I18" t="str">
        <f t="shared" si="8"/>
        <v>On Time</v>
      </c>
    </row>
    <row r="19" spans="1:9" x14ac:dyDescent="0.25">
      <c r="A19" t="str">
        <f t="shared" si="1"/>
        <v>AMI1005</v>
      </c>
      <c r="C19">
        <f t="shared" si="2"/>
        <v>24000</v>
      </c>
      <c r="D19">
        <f t="shared" si="3"/>
        <v>2880</v>
      </c>
      <c r="E19">
        <f t="shared" si="4"/>
        <v>21120</v>
      </c>
      <c r="F19" s="3" t="str">
        <f t="shared" si="5"/>
        <v>Tuesday</v>
      </c>
      <c r="G19" s="3" t="str">
        <f t="shared" si="6"/>
        <v>January</v>
      </c>
      <c r="H19">
        <f t="shared" si="7"/>
        <v>8</v>
      </c>
      <c r="I19" t="str">
        <f t="shared" si="8"/>
        <v>Late Delivery</v>
      </c>
    </row>
    <row r="20" spans="1:9" x14ac:dyDescent="0.25">
      <c r="A20" t="str">
        <f t="shared" si="1"/>
        <v>SNE1006</v>
      </c>
      <c r="C20">
        <f t="shared" si="2"/>
        <v>60000</v>
      </c>
      <c r="D20">
        <f t="shared" si="3"/>
        <v>3000</v>
      </c>
      <c r="E20">
        <f t="shared" si="4"/>
        <v>57000</v>
      </c>
      <c r="F20" s="3" t="str">
        <f t="shared" si="5"/>
        <v>Thursday</v>
      </c>
      <c r="G20" s="3" t="str">
        <f t="shared" si="6"/>
        <v>January</v>
      </c>
      <c r="H20">
        <f t="shared" si="7"/>
        <v>8</v>
      </c>
      <c r="I20" t="str">
        <f t="shared" si="8"/>
        <v>Late Delivery</v>
      </c>
    </row>
    <row r="21" spans="1:9" x14ac:dyDescent="0.25">
      <c r="A21" t="str">
        <f t="shared" si="1"/>
        <v>KAR1007</v>
      </c>
      <c r="C21">
        <f t="shared" si="2"/>
        <v>88000</v>
      </c>
      <c r="D21">
        <f t="shared" si="3"/>
        <v>8800</v>
      </c>
      <c r="E21">
        <f t="shared" si="4"/>
        <v>79200</v>
      </c>
      <c r="F21" s="3" t="str">
        <f t="shared" si="5"/>
        <v>Sunday</v>
      </c>
      <c r="G21" s="3" t="str">
        <f t="shared" si="6"/>
        <v>February</v>
      </c>
      <c r="H21">
        <f t="shared" si="7"/>
        <v>8</v>
      </c>
      <c r="I21" t="str">
        <f t="shared" si="8"/>
        <v>Late Delivery</v>
      </c>
    </row>
    <row r="22" spans="1:9" x14ac:dyDescent="0.25">
      <c r="A22" t="str">
        <f t="shared" si="1"/>
        <v>PRI1008</v>
      </c>
      <c r="C22">
        <f t="shared" si="2"/>
        <v>45000</v>
      </c>
      <c r="D22">
        <f t="shared" si="3"/>
        <v>9000</v>
      </c>
      <c r="E22">
        <f t="shared" si="4"/>
        <v>36000</v>
      </c>
      <c r="F22" s="3" t="str">
        <f t="shared" si="5"/>
        <v>Wednesday</v>
      </c>
      <c r="G22" s="3" t="str">
        <f t="shared" si="6"/>
        <v>February</v>
      </c>
      <c r="H22">
        <f t="shared" si="7"/>
        <v>8</v>
      </c>
      <c r="I22" t="str">
        <f t="shared" si="8"/>
        <v>Late Delivery</v>
      </c>
    </row>
    <row r="23" spans="1:9" x14ac:dyDescent="0.25">
      <c r="A23" t="str">
        <f t="shared" si="1"/>
        <v>AKA1009</v>
      </c>
      <c r="C23">
        <f t="shared" si="2"/>
        <v>116000</v>
      </c>
      <c r="D23">
        <f t="shared" si="3"/>
        <v>17400</v>
      </c>
      <c r="E23">
        <f t="shared" si="4"/>
        <v>98600</v>
      </c>
      <c r="F23" s="3" t="str">
        <f t="shared" si="5"/>
        <v>Friday</v>
      </c>
      <c r="G23" s="3" t="str">
        <f t="shared" si="6"/>
        <v>February</v>
      </c>
      <c r="H23">
        <f t="shared" si="7"/>
        <v>7</v>
      </c>
      <c r="I23" t="str">
        <f t="shared" si="8"/>
        <v>On Time</v>
      </c>
    </row>
    <row r="24" spans="1:9" x14ac:dyDescent="0.25">
      <c r="A24" t="str">
        <f t="shared" si="1"/>
        <v>POO1010</v>
      </c>
      <c r="C24">
        <f t="shared" si="2"/>
        <v>51000</v>
      </c>
      <c r="D24">
        <f t="shared" si="3"/>
        <v>2550</v>
      </c>
      <c r="E24">
        <f t="shared" si="4"/>
        <v>48450</v>
      </c>
      <c r="F24" s="3" t="str">
        <f t="shared" si="5"/>
        <v>Monday</v>
      </c>
      <c r="G24" s="3" t="str">
        <f t="shared" si="6"/>
        <v>February</v>
      </c>
      <c r="H24">
        <f t="shared" si="7"/>
        <v>6</v>
      </c>
      <c r="I24" t="str">
        <f t="shared" si="8"/>
        <v>On Time</v>
      </c>
    </row>
    <row r="25" spans="1:9" x14ac:dyDescent="0.25">
      <c r="A25" t="str">
        <f t="shared" ref="A16:A26" si="9">UPPER(LEFT(B12,3))&amp;RIGHT(A12,4)</f>
        <v/>
      </c>
    </row>
    <row r="26" spans="1:9" x14ac:dyDescent="0.25">
      <c r="A26" t="str">
        <f t="shared" si="9"/>
        <v/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nehalbhoyar9@gmail.com</dc:creator>
  <cp:lastModifiedBy>nehalbhoyar9@gmail.com</cp:lastModifiedBy>
  <dcterms:created xsi:type="dcterms:W3CDTF">2026-07-02T05:39:49Z</dcterms:created>
  <dcterms:modified xsi:type="dcterms:W3CDTF">2026-07-02T07:12:36Z</dcterms:modified>
</cp:coreProperties>
</file>